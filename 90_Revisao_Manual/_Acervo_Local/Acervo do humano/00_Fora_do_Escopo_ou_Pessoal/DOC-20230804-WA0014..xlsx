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xr:revisionPtr revIDLastSave="0" documentId="8_{4F7B27B9-8A06-F946-9FF3-CB626F0E1E8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ATZti3nPKMkhaEr8tzzpc4060At27XQ4GT39/69tz0="/>
    </ext>
  </extLst>
</workbook>
</file>

<file path=xl/calcChain.xml><?xml version="1.0" encoding="utf-8"?>
<calcChain xmlns="http://schemas.openxmlformats.org/spreadsheetml/2006/main">
  <c r="M106" i="1" l="1"/>
  <c r="L106" i="1"/>
  <c r="H106" i="1"/>
  <c r="G106" i="1"/>
  <c r="F106" i="1"/>
  <c r="E106" i="1"/>
  <c r="P12" i="1"/>
  <c r="P13" i="1"/>
  <c r="P7" i="1"/>
  <c r="P9" i="1"/>
  <c r="P10" i="1"/>
  <c r="P6" i="1"/>
  <c r="P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3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ID#AAAAv6acLv0
Aline    (2023-04-26 11:43:12)
MATERIAL E MÃO DE OBRA</t>
        </r>
      </text>
    </comment>
    <comment ref="E25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ID#AAAAv6acLvk
Aline    (2023-04-26 11:43:12)
MATERIAL E MÃO DE OBRA</t>
        </r>
      </text>
    </comment>
    <comment ref="E3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ID#AAAAv6acLvY
Aline    (2023-04-26 11:43:12)
REFERENTE AO PROXIMO ( ULTIMO) MÊS DE USO</t>
        </r>
      </text>
    </comment>
    <comment ref="L34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ID#AAAAv6acLvU
Aline    (2023-04-26 11:43:12)
NAUTICA TINTAS 03/04 = $2076
NAUTICA TINTAS 13/04 = $1940</t>
        </r>
      </text>
    </comment>
    <comment ref="E3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ID#AAAAv6acLv4
Aline    (2023-04-26 11:43:12)
$15X31PÉS) = 465</t>
        </r>
      </text>
    </comment>
    <comment ref="L41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ID#AAAAv6acLvs
Aline    (2023-04-26 11:43:12)
COMERCIAL ITAGUA 09/04 $1936
COMERCIAL ITAGUA 12/04 $680</t>
        </r>
      </text>
    </comment>
    <comment ref="L4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ID#AAAAv6acLvg
Aline    (2023-04-26 11:43:12)
MATERIAL E MÃO DE OBRA</t>
        </r>
      </text>
    </comment>
    <comment ref="K5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ID#AAAAwsuMBh0
Arthur Ribeiro    (2023-05-16 21:42:07)
PINCEL, FITAS, ROLINHOS, TRINCHAS, DILUENTES, MATERIAL DE LIMPEZA</t>
        </r>
      </text>
    </comment>
    <comment ref="L87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ID#AAAAv6acLvo
Aline    (2023-04-26 11:43:12)
30M CABO 35MM
TERMINAIS
ABRACADDEIRAS
THERMORETRATEIS</t>
        </r>
      </text>
    </comment>
    <comment ref="L88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ID#AAAAv6acLvw
Aline    (2023-04-26 11:43:12)
TINTA BRANCA
COLA ESTRUTUTAL
EPOXI
MASSA POLIESTER
SIKA FLEX
TINTA BRANCA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S3l4ekqiEcYLBSrvRfgkG+f0tg=="/>
    </ext>
  </extLst>
</comments>
</file>

<file path=xl/sharedStrings.xml><?xml version="1.0" encoding="utf-8"?>
<sst xmlns="http://schemas.openxmlformats.org/spreadsheetml/2006/main" count="215" uniqueCount="170">
  <si>
    <t>VELEIRO SEVEN</t>
  </si>
  <si>
    <t>MÃO DE OBRA</t>
  </si>
  <si>
    <t>RESPONSÁVEL</t>
  </si>
  <si>
    <t>ORÇAMENTO</t>
  </si>
  <si>
    <t>PARCELA ENTRADA</t>
  </si>
  <si>
    <t>PARCELA INTERMEDIÁRIA</t>
  </si>
  <si>
    <t>PARCELA FINAL</t>
  </si>
  <si>
    <t>MATERIAL</t>
  </si>
  <si>
    <t>PAGO</t>
  </si>
  <si>
    <t>ADMINSTRAÇÃO GERAL</t>
  </si>
  <si>
    <t>LEO</t>
  </si>
  <si>
    <t>PILOTO AUTOMATICO</t>
  </si>
  <si>
    <t>TOTAL GASTO</t>
  </si>
  <si>
    <t>AJUDANTES</t>
  </si>
  <si>
    <t>ESTAÇÃO DE VENDO</t>
  </si>
  <si>
    <t>TOTAL PREVISTO</t>
  </si>
  <si>
    <t>ALUGUEL</t>
  </si>
  <si>
    <t>RAMSES</t>
  </si>
  <si>
    <t>E</t>
  </si>
  <si>
    <t>PROFUNDIMENTRO</t>
  </si>
  <si>
    <t>P</t>
  </si>
  <si>
    <t>EVA FLORIPA</t>
  </si>
  <si>
    <t>U</t>
  </si>
  <si>
    <t>ITC-5</t>
  </si>
  <si>
    <t>GASTOS MÃO DE OBRA</t>
  </si>
  <si>
    <t>A</t>
  </si>
  <si>
    <t>VIGIAS</t>
  </si>
  <si>
    <t>CHARTPLOTTER</t>
  </si>
  <si>
    <t>GASTOS MATERIAL</t>
  </si>
  <si>
    <t>S</t>
  </si>
  <si>
    <t>DETETIZAÇÃO</t>
  </si>
  <si>
    <t>VALVULA VETUS</t>
  </si>
  <si>
    <t>CARRETA</t>
  </si>
  <si>
    <t>RAMSÉS</t>
  </si>
  <si>
    <t>SELO MECANICO VOLVO</t>
  </si>
  <si>
    <t>PREVISÃO MÃO DE OBRA</t>
  </si>
  <si>
    <t>MARCENARIA</t>
  </si>
  <si>
    <t>CLÁUDIO</t>
  </si>
  <si>
    <t>RADIO ICON</t>
  </si>
  <si>
    <t>PREVISÃO MATERIAL</t>
  </si>
  <si>
    <t>D</t>
  </si>
  <si>
    <t>LIXAMENTO</t>
  </si>
  <si>
    <t>MARCIO</t>
  </si>
  <si>
    <t>O</t>
  </si>
  <si>
    <t>FUNDO</t>
  </si>
  <si>
    <t>RODOLFO</t>
  </si>
  <si>
    <t>GELADEIRA 12V NAUTICA ITALIANA DANFOSS</t>
  </si>
  <si>
    <t>SALDO A PAGAR</t>
  </si>
  <si>
    <t>CARLOS</t>
  </si>
  <si>
    <t>R</t>
  </si>
  <si>
    <t>INVERSORA USINA SMART 2000W</t>
  </si>
  <si>
    <t>MOVIMENTAÇÃO</t>
  </si>
  <si>
    <t>SOM PIONEER BLUETOOTH</t>
  </si>
  <si>
    <t>PINTURA DE MASTRO</t>
  </si>
  <si>
    <t>ALEXANDRE</t>
  </si>
  <si>
    <t>AUTO-FALANTES 6" (2X PARES)</t>
  </si>
  <si>
    <t>GUINCHO</t>
  </si>
  <si>
    <t xml:space="preserve">PARTE INTERNA (FIBRA, COLA E PINTURA) </t>
  </si>
  <si>
    <t>RIBEIROS</t>
  </si>
  <si>
    <t>N</t>
  </si>
  <si>
    <t>30M CORRENTE 8" GALVANIZADO</t>
  </si>
  <si>
    <t>ELÉTRICA</t>
  </si>
  <si>
    <t>T</t>
  </si>
  <si>
    <t>ANCORA BRUCE 15KG</t>
  </si>
  <si>
    <t>MECÂNICA</t>
  </si>
  <si>
    <t>GIRADOR DE ANCORA</t>
  </si>
  <si>
    <t>HIDRÁULICA (DOCE E SALGADA)</t>
  </si>
  <si>
    <t>MOTOR KUBOTA</t>
  </si>
  <si>
    <t>HIDRÁULICA (DIESEL)</t>
  </si>
  <si>
    <t>FORMICA BRANCA</t>
  </si>
  <si>
    <t>TAPEÇARIA</t>
  </si>
  <si>
    <t>GENIVALDO</t>
  </si>
  <si>
    <t>PROLONGADOR DO EIXO</t>
  </si>
  <si>
    <t>CONVÉS E ANTIDERRAPANTE</t>
  </si>
  <si>
    <t>ALEMÃO</t>
  </si>
  <si>
    <t>2X BERÇOS DE MOTOR RESINADO</t>
  </si>
  <si>
    <t>REVESTIMENTO DO FUNDO</t>
  </si>
  <si>
    <t>2X TANQUE DIESEL 30L</t>
  </si>
  <si>
    <t>PINTURA DO FUNDO (VENENOSA)</t>
  </si>
  <si>
    <t>8m MANGUEIRA DIESEL</t>
  </si>
  <si>
    <t>MASTRO</t>
  </si>
  <si>
    <t>PEDRO</t>
  </si>
  <si>
    <t>FILTRO RACCOR</t>
  </si>
  <si>
    <t>BETO MARCENARIA</t>
  </si>
  <si>
    <t>RELOGIO RPM TOROTEST MOTOR</t>
  </si>
  <si>
    <t>PISO</t>
  </si>
  <si>
    <t>TAMPA ENTRADA DIESEL COM CHAVE</t>
  </si>
  <si>
    <t>INOX EXTERNO</t>
  </si>
  <si>
    <t>DUTRA</t>
  </si>
  <si>
    <t>RESPIRO TANQUE DE DIESEL LATERAL</t>
  </si>
  <si>
    <t>MARCOS</t>
  </si>
  <si>
    <t>MATERIAL DIESEL (ABASTECIMENTO)</t>
  </si>
  <si>
    <t>ADESIVAÇÃO</t>
  </si>
  <si>
    <t>TINTAS DE DECK E TECIDO DO FUNDO</t>
  </si>
  <si>
    <t>FORMICAÇÃO</t>
  </si>
  <si>
    <t>2X GALVERETT</t>
  </si>
  <si>
    <t>ABAFADOR ACÚSTICO</t>
  </si>
  <si>
    <t>2X INTERGARD PRIME EPOXI</t>
  </si>
  <si>
    <t>GAIUTAS</t>
  </si>
  <si>
    <t>2X INTERTUF VINYL BRONZE</t>
  </si>
  <si>
    <t>TRATOR</t>
  </si>
  <si>
    <t>3x TINTA MICRON PREMIUM VENENOSA</t>
  </si>
  <si>
    <t>MUNK (CARRETA E MASTRO)</t>
  </si>
  <si>
    <t>ADRIANO</t>
  </si>
  <si>
    <t>ANODOS</t>
  </si>
  <si>
    <t>GÁS DE COZINHA</t>
  </si>
  <si>
    <t>CHUVEIRINHO COM BASE</t>
  </si>
  <si>
    <t>MATERIAL HIDRAULICA DOCE E SALGADA</t>
  </si>
  <si>
    <t>BANHEIRO 12V ELÉTRICO JABSCO</t>
  </si>
  <si>
    <t>VENTILADOR 12V</t>
  </si>
  <si>
    <t>6X LUMINARIAS SPOT DE EMBUTIR</t>
  </si>
  <si>
    <t>6X LUMINARIAS LUZ DE LEITURA</t>
  </si>
  <si>
    <t>LUZ DE TOP COM TRICOLOR</t>
  </si>
  <si>
    <t>LUZ DE CRUZETA E DECK</t>
  </si>
  <si>
    <t>6X LUMINARIAS SOBREPOR 30CM</t>
  </si>
  <si>
    <t>TV SMART 32"</t>
  </si>
  <si>
    <t>MICROONDAS 20L</t>
  </si>
  <si>
    <t>1x GAIUTA 12X17</t>
  </si>
  <si>
    <t>GAIUTA 19X19</t>
  </si>
  <si>
    <t>SIKAFLEX GAIUTAS</t>
  </si>
  <si>
    <t>FAROL DAS TINTAS 15/05</t>
  </si>
  <si>
    <t xml:space="preserve">EIXO E LEME </t>
  </si>
  <si>
    <t>HELICE</t>
  </si>
  <si>
    <t>COMPENSADO NAVAL</t>
  </si>
  <si>
    <t>2X PLACA SOLAR 150W</t>
  </si>
  <si>
    <t>REGULADOR MPPT</t>
  </si>
  <si>
    <t>CARREGADOR USINA SMART 120A</t>
  </si>
  <si>
    <t xml:space="preserve">PAR DE CONECTOR STECK </t>
  </si>
  <si>
    <t>4X VENTILADORES 12V</t>
  </si>
  <si>
    <t>30M CABO COAXIAL VHF</t>
  </si>
  <si>
    <t>J</t>
  </si>
  <si>
    <t>ANTENA VHF</t>
  </si>
  <si>
    <t>CAIXA KM PASSAGEM DO MASTRO</t>
  </si>
  <si>
    <t>2X KIT BOMBA DE PORÃO</t>
  </si>
  <si>
    <t>6X USB MARITIMO</t>
  </si>
  <si>
    <t>100M CABO PP 2X2,5mm</t>
  </si>
  <si>
    <t>G</t>
  </si>
  <si>
    <t>100M CABO PP 2X1,5mm</t>
  </si>
  <si>
    <t>CHAVE MOTOR DE POPA ETEC</t>
  </si>
  <si>
    <t>CHAVE GERAL PERKO</t>
  </si>
  <si>
    <t>VOLTIMETRO DC</t>
  </si>
  <si>
    <t>RELE DIVISOR DE CARGA ARIELTEK</t>
  </si>
  <si>
    <t>DISJUNTORES</t>
  </si>
  <si>
    <t>50M CABO 10MM</t>
  </si>
  <si>
    <t>7 INTERRUPTOR PAINEL COM LED</t>
  </si>
  <si>
    <t>ALARME DE MOTOR</t>
  </si>
  <si>
    <t>RELE DE PARTIDA E AQUECIMENTO</t>
  </si>
  <si>
    <t>SENSOR ALARME DE OLEO</t>
  </si>
  <si>
    <t>SENSOR ALARME DE TEMPERATURA</t>
  </si>
  <si>
    <t>CHICOTE DE MOTOR</t>
  </si>
  <si>
    <t>10M CABO DE BATERIA 50MM</t>
  </si>
  <si>
    <t>10M CABO DE BATERIA 25MM</t>
  </si>
  <si>
    <t>20X TERMINAL BATERIA 70MM</t>
  </si>
  <si>
    <t>4X TERMINAL LATÃO COM PARAFUSOS INOX</t>
  </si>
  <si>
    <t>2X BATERIAS MOURA NAUTICA 150A</t>
  </si>
  <si>
    <t>MATERIAL ELÉTRICO PARA O GUINCHO</t>
  </si>
  <si>
    <t>MATERIAL PARTE INTERNA RIBEIROS</t>
  </si>
  <si>
    <t>MOTOR CONTROL ANTIGO</t>
  </si>
  <si>
    <t>ENGATE E ACELERADOR</t>
  </si>
  <si>
    <t>BOMBA DE AGUA DOCE</t>
  </si>
  <si>
    <t>BOMBA DE AGUA SALGADA PEDAL</t>
  </si>
  <si>
    <t>PASSA CASCOS E REGISTROS</t>
  </si>
  <si>
    <t>PERFIL DE ALUMÍNIO LATERAL DO BARCO</t>
  </si>
  <si>
    <t>COLETES SALVA-VIDAS</t>
  </si>
  <si>
    <t>SINALIZADORES E FOGOS</t>
  </si>
  <si>
    <t>EXTINTORES</t>
  </si>
  <si>
    <t>DEFENSAS</t>
  </si>
  <si>
    <t>CABOS DE AMARRAÇÃO</t>
  </si>
  <si>
    <t>BUZINA DE MÃO</t>
  </si>
  <si>
    <t>LANTERNA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</si>
</sst>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4"/>
      <color theme="1"/>
      <name val="Calibri"/>
    </font>
    <font>
      <b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FFF99"/>
        <bgColor rgb="FFFFFF99"/>
      </patternFill>
    </fill>
    <fill>
      <patternFill patternType="solid">
        <fgColor rgb="FFB6DDE8"/>
        <bgColor rgb="FFB6DDE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 vertical="center"/>
    </xf>
    <xf numFmtId="0" fontId="3" fillId="8" borderId="2" xfId="0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64" fontId="1" fillId="9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 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topLeftCell="K6" workbookViewId="0"/>
  </sheetViews>
  <sheetFormatPr defaultColWidth="14.390625" defaultRowHeight="15" customHeight="1" x14ac:dyDescent="0.2"/>
  <cols>
    <col min="1" max="2" width="9.14453125" customWidth="1"/>
    <col min="3" max="4" width="40.7578125" customWidth="1"/>
    <col min="5" max="8" width="25.69140625" customWidth="1"/>
    <col min="9" max="10" width="5.6484375" customWidth="1"/>
    <col min="11" max="11" width="50.71484375" customWidth="1"/>
    <col min="12" max="13" width="25.69140625" customWidth="1"/>
    <col min="14" max="14" width="9.14453125" customWidth="1"/>
    <col min="15" max="15" width="40.7578125" customWidth="1"/>
    <col min="16" max="16" width="30.66796875" customWidth="1"/>
    <col min="17" max="17" width="14.390625" customWidth="1"/>
    <col min="18" max="37" width="9.1445312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2"/>
      <c r="AK1" s="2"/>
    </row>
    <row r="2" spans="1:37" ht="30" customHeight="1" x14ac:dyDescent="0.2">
      <c r="A2" s="1"/>
      <c r="B2" s="1"/>
      <c r="C2" s="3" t="s">
        <v>0</v>
      </c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2"/>
      <c r="AJ2" s="2"/>
      <c r="AK2" s="2"/>
    </row>
    <row r="3" spans="1:3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"/>
      <c r="AI3" s="2"/>
      <c r="AJ3" s="2"/>
      <c r="AK3" s="2"/>
    </row>
    <row r="4" spans="1:3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2"/>
      <c r="AI4" s="2"/>
      <c r="AJ4" s="2"/>
      <c r="AK4" s="2"/>
    </row>
    <row r="5" spans="1:37" ht="30" customHeight="1" x14ac:dyDescent="0.2">
      <c r="A5" s="1"/>
      <c r="B5" s="1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1"/>
      <c r="J5" s="1"/>
      <c r="K5" s="5" t="s">
        <v>7</v>
      </c>
      <c r="L5" s="5" t="s">
        <v>3</v>
      </c>
      <c r="M5" s="5" t="s">
        <v>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"/>
      <c r="AI5" s="2"/>
      <c r="AJ5" s="2"/>
      <c r="AK5" s="2"/>
    </row>
    <row r="6" spans="1:37" x14ac:dyDescent="0.2">
      <c r="A6" s="1"/>
      <c r="B6" s="1"/>
      <c r="C6" s="6" t="s">
        <v>9</v>
      </c>
      <c r="D6" s="6" t="s">
        <v>10</v>
      </c>
      <c r="E6" s="7"/>
      <c r="F6" s="7"/>
      <c r="G6" s="7"/>
      <c r="H6" s="7"/>
      <c r="I6" s="1"/>
      <c r="J6" s="1"/>
      <c r="K6" s="8" t="s">
        <v>11</v>
      </c>
      <c r="L6" s="9"/>
      <c r="M6" s="10"/>
      <c r="N6" s="1"/>
      <c r="O6" s="11" t="s">
        <v>12</v>
      </c>
      <c r="P6" s="12">
        <f>SUM(P9+P10)</f>
        <v>170376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"/>
    </row>
    <row r="7" spans="1:37" x14ac:dyDescent="0.2">
      <c r="A7" s="1"/>
      <c r="B7" s="1"/>
      <c r="C7" s="6" t="s">
        <v>13</v>
      </c>
      <c r="D7" s="6" t="s">
        <v>10</v>
      </c>
      <c r="E7" s="6"/>
      <c r="F7" s="6"/>
      <c r="G7" s="6"/>
      <c r="H7" s="6"/>
      <c r="I7" s="1"/>
      <c r="J7" s="1"/>
      <c r="K7" s="8" t="s">
        <v>14</v>
      </c>
      <c r="L7" s="9"/>
      <c r="M7" s="10"/>
      <c r="N7" s="1"/>
      <c r="O7" s="11" t="s">
        <v>15</v>
      </c>
      <c r="P7" s="12">
        <f>SUM(P12+P13)</f>
        <v>190598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"/>
    </row>
    <row r="8" spans="1:37" x14ac:dyDescent="0.2">
      <c r="A8" s="1"/>
      <c r="B8" s="1"/>
      <c r="C8" s="6" t="s">
        <v>16</v>
      </c>
      <c r="D8" s="6" t="s">
        <v>17</v>
      </c>
      <c r="E8" s="7"/>
      <c r="F8" s="7"/>
      <c r="G8" s="7"/>
      <c r="H8" s="7"/>
      <c r="I8" s="1"/>
      <c r="J8" s="13" t="s">
        <v>18</v>
      </c>
      <c r="K8" s="8" t="s">
        <v>19</v>
      </c>
      <c r="L8" s="9"/>
      <c r="M8" s="10"/>
      <c r="N8" s="1"/>
      <c r="O8" s="14"/>
      <c r="P8" s="1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"/>
    </row>
    <row r="9" spans="1:37" x14ac:dyDescent="0.2">
      <c r="A9" s="1"/>
      <c r="B9" s="16" t="s">
        <v>20</v>
      </c>
      <c r="C9" s="6" t="s">
        <v>21</v>
      </c>
      <c r="D9" s="6" t="s">
        <v>21</v>
      </c>
      <c r="E9" s="7"/>
      <c r="F9" s="7"/>
      <c r="G9" s="7"/>
      <c r="H9" s="7"/>
      <c r="I9" s="1"/>
      <c r="J9" s="13" t="s">
        <v>22</v>
      </c>
      <c r="K9" s="8" t="s">
        <v>23</v>
      </c>
      <c r="L9" s="9"/>
      <c r="M9" s="10"/>
      <c r="N9" s="1"/>
      <c r="O9" s="16" t="s">
        <v>24</v>
      </c>
      <c r="P9" s="17">
        <f>SUM(F106+G106+H106)</f>
        <v>88300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2"/>
    </row>
    <row r="10" spans="1:37" x14ac:dyDescent="0.2">
      <c r="A10" s="1"/>
      <c r="B10" s="16" t="s">
        <v>25</v>
      </c>
      <c r="C10" s="6" t="s">
        <v>26</v>
      </c>
      <c r="D10" s="6" t="s">
        <v>26</v>
      </c>
      <c r="E10" s="7"/>
      <c r="F10" s="7"/>
      <c r="G10" s="7"/>
      <c r="H10" s="7"/>
      <c r="I10" s="1"/>
      <c r="J10" s="13" t="s">
        <v>25</v>
      </c>
      <c r="K10" s="8" t="s">
        <v>27</v>
      </c>
      <c r="L10" s="9"/>
      <c r="M10" s="10"/>
      <c r="N10" s="1"/>
      <c r="O10" s="13" t="s">
        <v>28</v>
      </c>
      <c r="P10" s="10">
        <f>SUM(M106)</f>
        <v>82076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"/>
    </row>
    <row r="11" spans="1:37" x14ac:dyDescent="0.2">
      <c r="A11" s="1"/>
      <c r="B11" s="16" t="s">
        <v>29</v>
      </c>
      <c r="C11" s="6" t="s">
        <v>30</v>
      </c>
      <c r="D11" s="6" t="s">
        <v>30</v>
      </c>
      <c r="E11" s="7"/>
      <c r="F11" s="7"/>
      <c r="G11" s="7"/>
      <c r="H11" s="7"/>
      <c r="I11" s="1"/>
      <c r="J11" s="1"/>
      <c r="K11" s="8" t="s">
        <v>31</v>
      </c>
      <c r="L11" s="9"/>
      <c r="M11" s="10"/>
      <c r="N11" s="1"/>
      <c r="O11" s="14"/>
      <c r="P11" s="1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"/>
    </row>
    <row r="12" spans="1:37" x14ac:dyDescent="0.2">
      <c r="A12" s="1"/>
      <c r="B12" s="16" t="s">
        <v>29</v>
      </c>
      <c r="C12" s="6" t="s">
        <v>32</v>
      </c>
      <c r="D12" s="6" t="s">
        <v>33</v>
      </c>
      <c r="E12" s="7"/>
      <c r="F12" s="7"/>
      <c r="G12" s="7"/>
      <c r="H12" s="7"/>
      <c r="I12" s="1"/>
      <c r="J12" s="1"/>
      <c r="K12" s="8" t="s">
        <v>34</v>
      </c>
      <c r="L12" s="9"/>
      <c r="M12" s="10"/>
      <c r="N12" s="1"/>
      <c r="O12" s="16" t="s">
        <v>35</v>
      </c>
      <c r="P12" s="17">
        <f>SUM(E106)</f>
        <v>94965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2"/>
    </row>
    <row r="13" spans="1:37" x14ac:dyDescent="0.2">
      <c r="A13" s="1"/>
      <c r="B13" s="16" t="s">
        <v>25</v>
      </c>
      <c r="C13" s="6" t="s">
        <v>36</v>
      </c>
      <c r="D13" s="6" t="s">
        <v>37</v>
      </c>
      <c r="E13" s="7"/>
      <c r="F13" s="7"/>
      <c r="G13" s="7"/>
      <c r="H13" s="7"/>
      <c r="I13" s="1"/>
      <c r="J13" s="1"/>
      <c r="K13" s="8" t="s">
        <v>38</v>
      </c>
      <c r="L13" s="9"/>
      <c r="M13" s="10"/>
      <c r="N13" s="1"/>
      <c r="O13" s="13" t="s">
        <v>39</v>
      </c>
      <c r="P13" s="10">
        <f>SUM(L106)</f>
        <v>95633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"/>
    </row>
    <row r="14" spans="1:37" x14ac:dyDescent="0.2">
      <c r="A14" s="1"/>
      <c r="B14" s="16" t="s">
        <v>40</v>
      </c>
      <c r="C14" s="6" t="s">
        <v>41</v>
      </c>
      <c r="D14" s="6" t="s">
        <v>42</v>
      </c>
      <c r="E14" s="7">
        <v>3300</v>
      </c>
      <c r="F14" s="7">
        <v>1300</v>
      </c>
      <c r="G14" s="7">
        <v>0</v>
      </c>
      <c r="H14" s="7">
        <v>2000</v>
      </c>
      <c r="I14" s="1"/>
      <c r="J14" s="1"/>
      <c r="K14" s="18"/>
      <c r="L14" s="19"/>
      <c r="M14" s="20"/>
      <c r="N14" s="1"/>
      <c r="O14" s="1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"/>
    </row>
    <row r="15" spans="1:37" x14ac:dyDescent="0.2">
      <c r="A15" s="1"/>
      <c r="B15" s="16" t="s">
        <v>43</v>
      </c>
      <c r="C15" s="6" t="s">
        <v>44</v>
      </c>
      <c r="D15" s="6" t="s">
        <v>45</v>
      </c>
      <c r="E15" s="7">
        <v>6000</v>
      </c>
      <c r="F15" s="7">
        <v>6000</v>
      </c>
      <c r="G15" s="7">
        <v>0</v>
      </c>
      <c r="H15" s="7">
        <v>0</v>
      </c>
      <c r="I15" s="1"/>
      <c r="J15" s="13" t="s">
        <v>20</v>
      </c>
      <c r="K15" s="18" t="s">
        <v>46</v>
      </c>
      <c r="L15" s="20">
        <v>3500</v>
      </c>
      <c r="M15" s="20">
        <v>3500</v>
      </c>
      <c r="N15" s="1"/>
      <c r="O15" s="21" t="s">
        <v>47</v>
      </c>
      <c r="P15" s="22">
        <f>(P7-P6)</f>
        <v>20222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</row>
    <row r="16" spans="1:37" x14ac:dyDescent="0.2">
      <c r="A16" s="1"/>
      <c r="B16" s="1"/>
      <c r="C16" s="6" t="s">
        <v>36</v>
      </c>
      <c r="D16" s="6" t="s">
        <v>48</v>
      </c>
      <c r="E16" s="7"/>
      <c r="F16" s="7"/>
      <c r="G16" s="7"/>
      <c r="H16" s="7"/>
      <c r="I16" s="1"/>
      <c r="J16" s="13" t="s">
        <v>49</v>
      </c>
      <c r="K16" s="18" t="s">
        <v>50</v>
      </c>
      <c r="L16" s="20">
        <v>2700</v>
      </c>
      <c r="M16" s="23">
        <v>2700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2"/>
    </row>
    <row r="17" spans="1:37" x14ac:dyDescent="0.2">
      <c r="A17" s="1"/>
      <c r="B17" s="1"/>
      <c r="C17" s="6" t="s">
        <v>51</v>
      </c>
      <c r="D17" s="6" t="s">
        <v>33</v>
      </c>
      <c r="E17" s="7"/>
      <c r="F17" s="7"/>
      <c r="G17" s="7"/>
      <c r="H17" s="7"/>
      <c r="I17" s="1"/>
      <c r="J17" s="13" t="s">
        <v>18</v>
      </c>
      <c r="K17" s="18" t="s">
        <v>52</v>
      </c>
      <c r="L17" s="20">
        <v>450</v>
      </c>
      <c r="M17" s="23">
        <v>450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2"/>
    </row>
    <row r="18" spans="1:37" x14ac:dyDescent="0.2">
      <c r="A18" s="1"/>
      <c r="B18" s="1"/>
      <c r="C18" s="24" t="s">
        <v>53</v>
      </c>
      <c r="D18" s="24" t="s">
        <v>54</v>
      </c>
      <c r="E18" s="7"/>
      <c r="F18" s="7"/>
      <c r="G18" s="7"/>
      <c r="H18" s="7"/>
      <c r="I18" s="1"/>
      <c r="J18" s="13" t="s">
        <v>29</v>
      </c>
      <c r="K18" s="18" t="s">
        <v>55</v>
      </c>
      <c r="L18" s="20">
        <v>900</v>
      </c>
      <c r="M18" s="23">
        <v>900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"/>
    </row>
    <row r="19" spans="1:37" x14ac:dyDescent="0.2">
      <c r="A19" s="1"/>
      <c r="B19" s="1"/>
      <c r="C19" s="19"/>
      <c r="D19" s="19"/>
      <c r="E19" s="20"/>
      <c r="F19" s="20"/>
      <c r="G19" s="20"/>
      <c r="H19" s="20"/>
      <c r="I19" s="1"/>
      <c r="J19" s="13" t="s">
        <v>18</v>
      </c>
      <c r="K19" s="18" t="s">
        <v>56</v>
      </c>
      <c r="L19" s="20"/>
      <c r="M19" s="2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2"/>
    </row>
    <row r="20" spans="1:37" x14ac:dyDescent="0.2">
      <c r="A20" s="1"/>
      <c r="B20" s="16" t="s">
        <v>20</v>
      </c>
      <c r="C20" s="25" t="s">
        <v>57</v>
      </c>
      <c r="D20" s="19" t="s">
        <v>58</v>
      </c>
      <c r="E20" s="20">
        <v>15500</v>
      </c>
      <c r="F20" s="20"/>
      <c r="G20" s="20"/>
      <c r="H20" s="20">
        <v>15500</v>
      </c>
      <c r="I20" s="1"/>
      <c r="J20" s="13" t="s">
        <v>59</v>
      </c>
      <c r="K20" s="18" t="s">
        <v>60</v>
      </c>
      <c r="L20" s="20">
        <v>2700</v>
      </c>
      <c r="M20" s="2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"/>
    </row>
    <row r="21" spans="1:37" ht="15.75" customHeight="1" x14ac:dyDescent="0.2">
      <c r="A21" s="1"/>
      <c r="B21" s="16" t="s">
        <v>49</v>
      </c>
      <c r="C21" s="18" t="s">
        <v>61</v>
      </c>
      <c r="D21" s="18" t="s">
        <v>58</v>
      </c>
      <c r="E21" s="20">
        <v>18000</v>
      </c>
      <c r="F21" s="20">
        <v>6000</v>
      </c>
      <c r="G21" s="20">
        <v>6000</v>
      </c>
      <c r="H21" s="26">
        <v>6000</v>
      </c>
      <c r="I21" s="1"/>
      <c r="J21" s="13" t="s">
        <v>62</v>
      </c>
      <c r="K21" s="18" t="s">
        <v>63</v>
      </c>
      <c r="L21" s="20">
        <v>900</v>
      </c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2"/>
    </row>
    <row r="22" spans="1:37" ht="15.75" customHeight="1" x14ac:dyDescent="0.2">
      <c r="A22" s="1"/>
      <c r="B22" s="16" t="s">
        <v>18</v>
      </c>
      <c r="C22" s="18" t="s">
        <v>64</v>
      </c>
      <c r="D22" s="18" t="s">
        <v>58</v>
      </c>
      <c r="E22" s="20">
        <v>0</v>
      </c>
      <c r="F22" s="20">
        <v>0</v>
      </c>
      <c r="G22" s="20">
        <v>0</v>
      </c>
      <c r="H22" s="20">
        <v>0</v>
      </c>
      <c r="I22" s="1"/>
      <c r="J22" s="13" t="s">
        <v>18</v>
      </c>
      <c r="K22" s="18" t="s">
        <v>65</v>
      </c>
      <c r="L22" s="20">
        <v>190</v>
      </c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2"/>
    </row>
    <row r="23" spans="1:37" ht="15.75" customHeight="1" x14ac:dyDescent="0.2">
      <c r="A23" s="1"/>
      <c r="B23" s="16" t="s">
        <v>29</v>
      </c>
      <c r="C23" s="18" t="s">
        <v>66</v>
      </c>
      <c r="D23" s="18" t="s">
        <v>58</v>
      </c>
      <c r="E23" s="23">
        <v>3500</v>
      </c>
      <c r="F23" s="23"/>
      <c r="G23" s="23"/>
      <c r="H23" s="23">
        <v>3500</v>
      </c>
      <c r="I23" s="1"/>
      <c r="J23" s="1"/>
      <c r="K23" s="18" t="s">
        <v>67</v>
      </c>
      <c r="L23" s="20">
        <v>20000</v>
      </c>
      <c r="M23" s="27">
        <v>20000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2"/>
    </row>
    <row r="24" spans="1:37" ht="15.75" customHeight="1" x14ac:dyDescent="0.2">
      <c r="A24" s="1"/>
      <c r="B24" s="16" t="s">
        <v>18</v>
      </c>
      <c r="C24" s="18" t="s">
        <v>68</v>
      </c>
      <c r="D24" s="18" t="s">
        <v>58</v>
      </c>
      <c r="E24" s="23">
        <v>1500</v>
      </c>
      <c r="F24" s="23"/>
      <c r="G24" s="23"/>
      <c r="H24" s="27">
        <v>1500</v>
      </c>
      <c r="I24" s="1"/>
      <c r="J24" s="1"/>
      <c r="K24" s="18" t="s">
        <v>69</v>
      </c>
      <c r="L24" s="20">
        <v>500</v>
      </c>
      <c r="M24" s="27">
        <v>500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2"/>
    </row>
    <row r="25" spans="1:37" ht="15.75" customHeight="1" x14ac:dyDescent="0.2">
      <c r="A25" s="1"/>
      <c r="B25" s="16" t="s">
        <v>59</v>
      </c>
      <c r="C25" s="18" t="s">
        <v>70</v>
      </c>
      <c r="D25" s="18" t="s">
        <v>71</v>
      </c>
      <c r="E25" s="23">
        <v>25000</v>
      </c>
      <c r="F25" s="23">
        <v>12500</v>
      </c>
      <c r="G25" s="23"/>
      <c r="H25" s="27">
        <v>12500</v>
      </c>
      <c r="I25" s="1"/>
      <c r="J25" s="1"/>
      <c r="K25" s="18" t="s">
        <v>72</v>
      </c>
      <c r="L25" s="26">
        <v>1180</v>
      </c>
      <c r="M25" s="27">
        <v>1180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2"/>
    </row>
    <row r="26" spans="1:37" ht="15.75" customHeight="1" x14ac:dyDescent="0.2">
      <c r="A26" s="1"/>
      <c r="B26" s="16" t="s">
        <v>62</v>
      </c>
      <c r="C26" s="18" t="s">
        <v>73</v>
      </c>
      <c r="D26" s="18" t="s">
        <v>74</v>
      </c>
      <c r="E26" s="23">
        <v>10000</v>
      </c>
      <c r="F26" s="23">
        <v>5000</v>
      </c>
      <c r="G26" s="23"/>
      <c r="H26" s="27">
        <v>5000</v>
      </c>
      <c r="I26" s="1"/>
      <c r="J26" s="1"/>
      <c r="K26" s="18" t="s">
        <v>75</v>
      </c>
      <c r="L26" s="20">
        <v>600</v>
      </c>
      <c r="M26" s="23">
        <v>600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.75" customHeight="1" x14ac:dyDescent="0.2">
      <c r="A27" s="1"/>
      <c r="B27" s="16" t="s">
        <v>18</v>
      </c>
      <c r="C27" s="18" t="s">
        <v>76</v>
      </c>
      <c r="D27" s="18" t="s">
        <v>74</v>
      </c>
      <c r="E27" s="23">
        <v>4000</v>
      </c>
      <c r="F27" s="23">
        <v>2000</v>
      </c>
      <c r="G27" s="23"/>
      <c r="H27" s="23">
        <v>2000</v>
      </c>
      <c r="I27" s="1"/>
      <c r="J27" s="1"/>
      <c r="K27" s="18" t="s">
        <v>77</v>
      </c>
      <c r="L27" s="20">
        <v>700</v>
      </c>
      <c r="M27" s="23">
        <v>700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.75" customHeight="1" x14ac:dyDescent="0.2">
      <c r="A28" s="1"/>
      <c r="B28" s="1"/>
      <c r="C28" s="18" t="s">
        <v>78</v>
      </c>
      <c r="D28" s="18" t="s">
        <v>58</v>
      </c>
      <c r="E28" s="23">
        <v>4000</v>
      </c>
      <c r="F28" s="27"/>
      <c r="G28" s="23"/>
      <c r="H28" s="23"/>
      <c r="I28" s="1"/>
      <c r="J28" s="1"/>
      <c r="K28" s="18" t="s">
        <v>79</v>
      </c>
      <c r="L28" s="20">
        <v>336</v>
      </c>
      <c r="M28" s="23">
        <v>336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customHeight="1" x14ac:dyDescent="0.2">
      <c r="A29" s="1"/>
      <c r="B29" s="1"/>
      <c r="C29" s="18" t="s">
        <v>80</v>
      </c>
      <c r="D29" s="18" t="s">
        <v>81</v>
      </c>
      <c r="E29" s="23"/>
      <c r="F29" s="23"/>
      <c r="G29" s="23"/>
      <c r="H29" s="23"/>
      <c r="I29" s="1"/>
      <c r="J29" s="1"/>
      <c r="K29" s="18" t="s">
        <v>82</v>
      </c>
      <c r="L29" s="20">
        <v>490</v>
      </c>
      <c r="M29" s="2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customHeight="1" x14ac:dyDescent="0.2">
      <c r="A30" s="1"/>
      <c r="B30" s="1"/>
      <c r="C30" s="18" t="s">
        <v>36</v>
      </c>
      <c r="D30" s="18" t="s">
        <v>83</v>
      </c>
      <c r="E30" s="23"/>
      <c r="F30" s="23"/>
      <c r="G30" s="23"/>
      <c r="H30" s="23"/>
      <c r="I30" s="1"/>
      <c r="J30" s="1"/>
      <c r="K30" s="18" t="s">
        <v>84</v>
      </c>
      <c r="L30" s="20">
        <v>899</v>
      </c>
      <c r="M30" s="23">
        <v>899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.75" customHeight="1" x14ac:dyDescent="0.2">
      <c r="A31" s="1"/>
      <c r="B31" s="1"/>
      <c r="C31" s="18" t="s">
        <v>85</v>
      </c>
      <c r="D31" s="18"/>
      <c r="E31" s="23"/>
      <c r="F31" s="23"/>
      <c r="G31" s="23"/>
      <c r="H31" s="23"/>
      <c r="I31" s="1"/>
      <c r="J31" s="1"/>
      <c r="K31" s="18" t="s">
        <v>86</v>
      </c>
      <c r="L31" s="20">
        <v>350</v>
      </c>
      <c r="M31" s="23">
        <v>350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5.75" customHeight="1" x14ac:dyDescent="0.2">
      <c r="A32" s="1"/>
      <c r="B32" s="1"/>
      <c r="C32" s="18" t="s">
        <v>87</v>
      </c>
      <c r="D32" s="18" t="s">
        <v>88</v>
      </c>
      <c r="E32" s="23"/>
      <c r="F32" s="23"/>
      <c r="G32" s="23"/>
      <c r="H32" s="23"/>
      <c r="I32" s="1"/>
      <c r="J32" s="1"/>
      <c r="K32" s="18" t="s">
        <v>89</v>
      </c>
      <c r="L32" s="20">
        <v>190</v>
      </c>
      <c r="M32" s="23">
        <v>190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5.75" customHeight="1" x14ac:dyDescent="0.2">
      <c r="A33" s="1"/>
      <c r="B33" s="1"/>
      <c r="C33" s="18" t="s">
        <v>32</v>
      </c>
      <c r="D33" s="18" t="s">
        <v>90</v>
      </c>
      <c r="E33" s="27">
        <v>1500</v>
      </c>
      <c r="F33" s="23"/>
      <c r="G33" s="23"/>
      <c r="H33" s="23"/>
      <c r="I33" s="1"/>
      <c r="J33" s="1"/>
      <c r="K33" s="18" t="s">
        <v>91</v>
      </c>
      <c r="L33" s="20">
        <v>700</v>
      </c>
      <c r="M33" s="23">
        <v>700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.75" customHeight="1" x14ac:dyDescent="0.2">
      <c r="A34" s="1"/>
      <c r="B34" s="1"/>
      <c r="C34" s="18" t="s">
        <v>92</v>
      </c>
      <c r="D34" s="18"/>
      <c r="E34" s="23"/>
      <c r="F34" s="23"/>
      <c r="G34" s="23"/>
      <c r="H34" s="23"/>
      <c r="I34" s="1"/>
      <c r="J34" s="1"/>
      <c r="K34" s="18" t="s">
        <v>93</v>
      </c>
      <c r="L34" s="20">
        <v>4016</v>
      </c>
      <c r="M34" s="23">
        <v>4016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.75" customHeight="1" x14ac:dyDescent="0.2">
      <c r="A35" s="1"/>
      <c r="B35" s="1"/>
      <c r="C35" s="18" t="s">
        <v>94</v>
      </c>
      <c r="D35" s="18" t="s">
        <v>58</v>
      </c>
      <c r="E35" s="23">
        <v>1500</v>
      </c>
      <c r="F35" s="23"/>
      <c r="G35" s="23"/>
      <c r="H35" s="27">
        <v>1500</v>
      </c>
      <c r="I35" s="1"/>
      <c r="J35" s="1"/>
      <c r="K35" s="28" t="s">
        <v>95</v>
      </c>
      <c r="L35" s="26">
        <v>1380</v>
      </c>
      <c r="M35" s="27">
        <v>1380</v>
      </c>
      <c r="N35" s="1"/>
      <c r="O35" s="1"/>
      <c r="P35" s="29"/>
      <c r="Q35" s="2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.75" customHeight="1" x14ac:dyDescent="0.2">
      <c r="A36" s="1"/>
      <c r="B36" s="1"/>
      <c r="C36" s="18" t="s">
        <v>96</v>
      </c>
      <c r="D36" s="18" t="s">
        <v>58</v>
      </c>
      <c r="E36" s="23"/>
      <c r="F36" s="23"/>
      <c r="G36" s="23"/>
      <c r="H36" s="23"/>
      <c r="I36" s="1"/>
      <c r="J36" s="1"/>
      <c r="K36" s="28" t="s">
        <v>97</v>
      </c>
      <c r="L36" s="26">
        <v>1300</v>
      </c>
      <c r="M36" s="27">
        <v>1300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 x14ac:dyDescent="0.2">
      <c r="A37" s="1"/>
      <c r="B37" s="1"/>
      <c r="C37" s="18" t="s">
        <v>98</v>
      </c>
      <c r="D37" s="18"/>
      <c r="E37" s="27"/>
      <c r="F37" s="23"/>
      <c r="G37" s="23"/>
      <c r="H37" s="23"/>
      <c r="I37" s="1"/>
      <c r="J37" s="1"/>
      <c r="K37" s="28" t="s">
        <v>99</v>
      </c>
      <c r="L37" s="26">
        <v>1480</v>
      </c>
      <c r="M37" s="27">
        <v>1480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.75" customHeight="1" x14ac:dyDescent="0.2">
      <c r="A38" s="1"/>
      <c r="B38" s="1"/>
      <c r="C38" s="18" t="s">
        <v>100</v>
      </c>
      <c r="D38" s="18" t="s">
        <v>33</v>
      </c>
      <c r="E38" s="27">
        <v>465</v>
      </c>
      <c r="F38" s="23"/>
      <c r="G38" s="23"/>
      <c r="H38" s="23"/>
      <c r="I38" s="1"/>
      <c r="J38" s="1"/>
      <c r="K38" s="28" t="s">
        <v>101</v>
      </c>
      <c r="L38" s="26">
        <v>3900</v>
      </c>
      <c r="M38" s="27">
        <v>3900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75" customHeight="1" x14ac:dyDescent="0.2">
      <c r="A39" s="1"/>
      <c r="B39" s="1"/>
      <c r="C39" s="18" t="s">
        <v>102</v>
      </c>
      <c r="D39" s="18" t="s">
        <v>103</v>
      </c>
      <c r="E39" s="23">
        <v>700</v>
      </c>
      <c r="F39" s="23"/>
      <c r="G39" s="23"/>
      <c r="H39" s="23"/>
      <c r="I39" s="1"/>
      <c r="J39" s="1"/>
      <c r="K39" s="18" t="s">
        <v>104</v>
      </c>
      <c r="L39" s="20">
        <v>450</v>
      </c>
      <c r="M39" s="2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.75" customHeight="1" x14ac:dyDescent="0.2">
      <c r="A40" s="1"/>
      <c r="B40" s="1"/>
      <c r="C40" s="18" t="s">
        <v>105</v>
      </c>
      <c r="D40" s="18"/>
      <c r="E40" s="23"/>
      <c r="F40" s="23"/>
      <c r="G40" s="23"/>
      <c r="H40" s="23"/>
      <c r="I40" s="1"/>
      <c r="J40" s="1"/>
      <c r="K40" s="18" t="s">
        <v>106</v>
      </c>
      <c r="L40" s="20">
        <v>190</v>
      </c>
      <c r="M40" s="23">
        <v>190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.75" customHeight="1" x14ac:dyDescent="0.2">
      <c r="A41" s="1"/>
      <c r="B41" s="1"/>
      <c r="C41" s="18"/>
      <c r="D41" s="18"/>
      <c r="E41" s="23"/>
      <c r="F41" s="23"/>
      <c r="G41" s="23"/>
      <c r="H41" s="23"/>
      <c r="I41" s="1"/>
      <c r="J41" s="1"/>
      <c r="K41" s="18" t="s">
        <v>107</v>
      </c>
      <c r="L41" s="20">
        <v>2616</v>
      </c>
      <c r="M41" s="23">
        <v>2616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 x14ac:dyDescent="0.2">
      <c r="A42" s="1"/>
      <c r="B42" s="1"/>
      <c r="C42" s="18"/>
      <c r="D42" s="18"/>
      <c r="E42" s="23"/>
      <c r="F42" s="23"/>
      <c r="G42" s="23"/>
      <c r="H42" s="23"/>
      <c r="I42" s="1"/>
      <c r="J42" s="1"/>
      <c r="K42" s="18" t="s">
        <v>108</v>
      </c>
      <c r="L42" s="20">
        <v>3000</v>
      </c>
      <c r="M42" s="23">
        <v>3000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.75" customHeight="1" x14ac:dyDescent="0.2">
      <c r="A43" s="1"/>
      <c r="B43" s="1"/>
      <c r="C43" s="18"/>
      <c r="D43" s="18"/>
      <c r="E43" s="23"/>
      <c r="F43" s="23"/>
      <c r="G43" s="23"/>
      <c r="H43" s="23"/>
      <c r="I43" s="1"/>
      <c r="J43" s="1"/>
      <c r="K43" s="18" t="s">
        <v>109</v>
      </c>
      <c r="L43" s="20">
        <v>420</v>
      </c>
      <c r="M43" s="23">
        <v>420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75" customHeight="1" x14ac:dyDescent="0.2">
      <c r="A44" s="1"/>
      <c r="B44" s="1"/>
      <c r="C44" s="18"/>
      <c r="D44" s="18"/>
      <c r="E44" s="23"/>
      <c r="F44" s="23"/>
      <c r="G44" s="23"/>
      <c r="H44" s="23"/>
      <c r="I44" s="1"/>
      <c r="J44" s="1"/>
      <c r="K44" s="18" t="s">
        <v>110</v>
      </c>
      <c r="L44" s="20">
        <v>300</v>
      </c>
      <c r="M44" s="23">
        <v>300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.75" customHeight="1" x14ac:dyDescent="0.2">
      <c r="A45" s="1"/>
      <c r="B45" s="1"/>
      <c r="C45" s="18"/>
      <c r="D45" s="18"/>
      <c r="E45" s="23"/>
      <c r="F45" s="23"/>
      <c r="G45" s="23"/>
      <c r="H45" s="23"/>
      <c r="I45" s="1"/>
      <c r="J45" s="1"/>
      <c r="K45" s="18" t="s">
        <v>111</v>
      </c>
      <c r="L45" s="20">
        <v>900</v>
      </c>
      <c r="M45" s="23">
        <v>900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2">
      <c r="A46" s="1"/>
      <c r="B46" s="1"/>
      <c r="C46" s="18"/>
      <c r="D46" s="18"/>
      <c r="E46" s="23"/>
      <c r="F46" s="23"/>
      <c r="G46" s="23"/>
      <c r="H46" s="23"/>
      <c r="I46" s="1"/>
      <c r="J46" s="1"/>
      <c r="K46" s="18" t="s">
        <v>112</v>
      </c>
      <c r="L46" s="20">
        <v>570</v>
      </c>
      <c r="M46" s="23">
        <v>570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75" customHeight="1" x14ac:dyDescent="0.2">
      <c r="A47" s="1"/>
      <c r="B47" s="1"/>
      <c r="C47" s="18"/>
      <c r="D47" s="18"/>
      <c r="E47" s="23"/>
      <c r="F47" s="23"/>
      <c r="G47" s="23"/>
      <c r="H47" s="23"/>
      <c r="I47" s="1"/>
      <c r="J47" s="1"/>
      <c r="K47" s="18" t="s">
        <v>113</v>
      </c>
      <c r="L47" s="20">
        <v>450</v>
      </c>
      <c r="M47" s="23">
        <v>450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 x14ac:dyDescent="0.2">
      <c r="A48" s="1"/>
      <c r="B48" s="1"/>
      <c r="C48" s="18"/>
      <c r="D48" s="18"/>
      <c r="E48" s="23"/>
      <c r="F48" s="23"/>
      <c r="G48" s="23"/>
      <c r="H48" s="23"/>
      <c r="I48" s="1"/>
      <c r="J48" s="1"/>
      <c r="K48" s="18" t="s">
        <v>114</v>
      </c>
      <c r="L48" s="20">
        <v>900</v>
      </c>
      <c r="M48" s="23">
        <v>900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5.75" customHeight="1" x14ac:dyDescent="0.2">
      <c r="A49" s="1"/>
      <c r="B49" s="1"/>
      <c r="C49" s="18"/>
      <c r="D49" s="18"/>
      <c r="E49" s="23"/>
      <c r="F49" s="23"/>
      <c r="G49" s="23"/>
      <c r="H49" s="23"/>
      <c r="I49" s="1"/>
      <c r="J49" s="1"/>
      <c r="K49" s="28" t="s">
        <v>115</v>
      </c>
      <c r="L49" s="26"/>
      <c r="M49" s="2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x14ac:dyDescent="0.2">
      <c r="A50" s="1"/>
      <c r="B50" s="1"/>
      <c r="C50" s="18"/>
      <c r="D50" s="18"/>
      <c r="E50" s="23"/>
      <c r="F50" s="23"/>
      <c r="G50" s="23"/>
      <c r="H50" s="23"/>
      <c r="I50" s="1"/>
      <c r="J50" s="1"/>
      <c r="K50" s="18" t="s">
        <v>116</v>
      </c>
      <c r="L50" s="20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customHeight="1" x14ac:dyDescent="0.2">
      <c r="A51" s="1"/>
      <c r="B51" s="1"/>
      <c r="C51" s="18"/>
      <c r="D51" s="18"/>
      <c r="E51" s="23"/>
      <c r="F51" s="23"/>
      <c r="G51" s="23"/>
      <c r="H51" s="23"/>
      <c r="I51" s="1"/>
      <c r="J51" s="1"/>
      <c r="K51" s="28" t="s">
        <v>117</v>
      </c>
      <c r="L51" s="26">
        <v>2400</v>
      </c>
      <c r="M51" s="2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5.75" customHeight="1" x14ac:dyDescent="0.2">
      <c r="A52" s="1"/>
      <c r="B52" s="1"/>
      <c r="C52" s="18"/>
      <c r="D52" s="18"/>
      <c r="E52" s="23"/>
      <c r="F52" s="23"/>
      <c r="G52" s="23"/>
      <c r="H52" s="23"/>
      <c r="I52" s="1"/>
      <c r="J52" s="1"/>
      <c r="K52" s="18" t="s">
        <v>118</v>
      </c>
      <c r="L52" s="20">
        <v>2900</v>
      </c>
      <c r="M52" s="2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.75" customHeight="1" x14ac:dyDescent="0.2">
      <c r="A53" s="1"/>
      <c r="B53" s="1"/>
      <c r="C53" s="18"/>
      <c r="D53" s="18"/>
      <c r="E53" s="23"/>
      <c r="F53" s="23"/>
      <c r="G53" s="23"/>
      <c r="H53" s="23"/>
      <c r="I53" s="1"/>
      <c r="J53" s="1"/>
      <c r="K53" s="18" t="s">
        <v>119</v>
      </c>
      <c r="L53" s="20">
        <v>327</v>
      </c>
      <c r="M53" s="2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.75" customHeight="1" x14ac:dyDescent="0.2">
      <c r="A54" s="1"/>
      <c r="B54" s="1"/>
      <c r="C54" s="18"/>
      <c r="D54" s="18"/>
      <c r="E54" s="23"/>
      <c r="F54" s="23"/>
      <c r="G54" s="23"/>
      <c r="H54" s="23"/>
      <c r="I54" s="1"/>
      <c r="J54" s="1"/>
      <c r="K54" s="28" t="s">
        <v>120</v>
      </c>
      <c r="L54" s="26">
        <v>1100</v>
      </c>
      <c r="M54" s="27">
        <v>1100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.75" customHeight="1" x14ac:dyDescent="0.2">
      <c r="A55" s="1"/>
      <c r="B55" s="1"/>
      <c r="C55" s="18"/>
      <c r="D55" s="18"/>
      <c r="E55" s="23"/>
      <c r="F55" s="23"/>
      <c r="G55" s="23"/>
      <c r="H55" s="23"/>
      <c r="I55" s="1"/>
      <c r="J55" s="30"/>
      <c r="K55" s="25" t="s">
        <v>121</v>
      </c>
      <c r="L55" s="26">
        <v>3200</v>
      </c>
      <c r="M55" s="23"/>
      <c r="N55" s="1"/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 x14ac:dyDescent="0.2">
      <c r="A56" s="1"/>
      <c r="B56" s="1"/>
      <c r="C56" s="18"/>
      <c r="D56" s="18"/>
      <c r="E56" s="23"/>
      <c r="F56" s="23"/>
      <c r="G56" s="23"/>
      <c r="H56" s="23"/>
      <c r="I56" s="1"/>
      <c r="J56" s="31"/>
      <c r="K56" s="24" t="s">
        <v>122</v>
      </c>
      <c r="L56" s="7">
        <v>2300</v>
      </c>
      <c r="M56" s="32">
        <v>2300</v>
      </c>
      <c r="N56" s="1"/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 x14ac:dyDescent="0.2">
      <c r="A57" s="1"/>
      <c r="B57" s="1"/>
      <c r="C57" s="18"/>
      <c r="D57" s="18"/>
      <c r="E57" s="23"/>
      <c r="F57" s="23"/>
      <c r="G57" s="23"/>
      <c r="H57" s="23"/>
      <c r="I57" s="1"/>
      <c r="J57" s="31" t="s">
        <v>25</v>
      </c>
      <c r="K57" s="6" t="s">
        <v>123</v>
      </c>
      <c r="L57" s="7">
        <v>2500</v>
      </c>
      <c r="M57" s="32">
        <v>2500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.75" customHeight="1" x14ac:dyDescent="0.2">
      <c r="A58" s="1"/>
      <c r="B58" s="1"/>
      <c r="C58" s="18"/>
      <c r="D58" s="18"/>
      <c r="E58" s="23"/>
      <c r="F58" s="23"/>
      <c r="G58" s="23"/>
      <c r="H58" s="23"/>
      <c r="I58" s="1"/>
      <c r="J58" s="31" t="s">
        <v>29</v>
      </c>
      <c r="K58" s="6" t="s">
        <v>124</v>
      </c>
      <c r="L58" s="7">
        <v>1500</v>
      </c>
      <c r="M58" s="32">
        <v>1500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.75" customHeight="1" x14ac:dyDescent="0.2">
      <c r="A59" s="1"/>
      <c r="B59" s="1"/>
      <c r="C59" s="18"/>
      <c r="D59" s="18"/>
      <c r="E59" s="23"/>
      <c r="F59" s="23"/>
      <c r="G59" s="23"/>
      <c r="H59" s="23"/>
      <c r="I59" s="1"/>
      <c r="J59" s="31" t="s">
        <v>29</v>
      </c>
      <c r="K59" s="6" t="s">
        <v>125</v>
      </c>
      <c r="L59" s="7">
        <v>1100</v>
      </c>
      <c r="M59" s="32">
        <v>1100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.75" customHeight="1" x14ac:dyDescent="0.2">
      <c r="A60" s="1"/>
      <c r="B60" s="1"/>
      <c r="C60" s="18"/>
      <c r="D60" s="18"/>
      <c r="E60" s="23"/>
      <c r="F60" s="23"/>
      <c r="G60" s="23"/>
      <c r="H60" s="23"/>
      <c r="I60" s="1"/>
      <c r="J60" s="31" t="s">
        <v>25</v>
      </c>
      <c r="K60" s="6" t="s">
        <v>126</v>
      </c>
      <c r="L60" s="7">
        <v>800</v>
      </c>
      <c r="M60" s="32">
        <v>800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.75" customHeight="1" x14ac:dyDescent="0.2">
      <c r="A61" s="1"/>
      <c r="B61" s="1"/>
      <c r="C61" s="18"/>
      <c r="D61" s="18"/>
      <c r="E61" s="23"/>
      <c r="F61" s="23"/>
      <c r="G61" s="23"/>
      <c r="H61" s="23"/>
      <c r="I61" s="1"/>
      <c r="J61" s="31" t="s">
        <v>40</v>
      </c>
      <c r="K61" s="6" t="s">
        <v>127</v>
      </c>
      <c r="L61" s="7">
        <v>390</v>
      </c>
      <c r="M61" s="32">
        <v>390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.75" customHeight="1" x14ac:dyDescent="0.2">
      <c r="A62" s="1"/>
      <c r="B62" s="1"/>
      <c r="C62" s="18"/>
      <c r="D62" s="18"/>
      <c r="E62" s="23"/>
      <c r="F62" s="23"/>
      <c r="G62" s="23"/>
      <c r="H62" s="23"/>
      <c r="I62" s="1"/>
      <c r="J62" s="31" t="s">
        <v>43</v>
      </c>
      <c r="K62" s="6" t="s">
        <v>128</v>
      </c>
      <c r="L62" s="7">
        <v>1300</v>
      </c>
      <c r="M62" s="32">
        <v>1300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 x14ac:dyDescent="0.2">
      <c r="A63" s="1"/>
      <c r="B63" s="1"/>
      <c r="C63" s="18"/>
      <c r="D63" s="18"/>
      <c r="E63" s="23"/>
      <c r="F63" s="23"/>
      <c r="G63" s="23"/>
      <c r="H63" s="23"/>
      <c r="I63" s="1"/>
      <c r="J63" s="31"/>
      <c r="K63" s="6" t="s">
        <v>129</v>
      </c>
      <c r="L63" s="7">
        <v>450</v>
      </c>
      <c r="M63" s="32">
        <v>450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 x14ac:dyDescent="0.2">
      <c r="A64" s="1"/>
      <c r="B64" s="1"/>
      <c r="C64" s="18"/>
      <c r="D64" s="18"/>
      <c r="E64" s="23"/>
      <c r="F64" s="23"/>
      <c r="G64" s="23"/>
      <c r="H64" s="23"/>
      <c r="I64" s="1"/>
      <c r="J64" s="31" t="s">
        <v>130</v>
      </c>
      <c r="K64" s="6" t="s">
        <v>131</v>
      </c>
      <c r="L64" s="7">
        <v>490</v>
      </c>
      <c r="M64" s="32">
        <v>490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.75" customHeight="1" x14ac:dyDescent="0.2">
      <c r="A65" s="1"/>
      <c r="B65" s="1"/>
      <c r="C65" s="18"/>
      <c r="D65" s="18"/>
      <c r="E65" s="23"/>
      <c r="F65" s="23"/>
      <c r="G65" s="23"/>
      <c r="H65" s="23"/>
      <c r="I65" s="1"/>
      <c r="J65" s="31" t="s">
        <v>25</v>
      </c>
      <c r="K65" s="6" t="s">
        <v>132</v>
      </c>
      <c r="L65" s="7">
        <v>100</v>
      </c>
      <c r="M65" s="32">
        <v>100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.75" customHeight="1" x14ac:dyDescent="0.2">
      <c r="A66" s="1"/>
      <c r="B66" s="1"/>
      <c r="C66" s="18"/>
      <c r="D66" s="18"/>
      <c r="E66" s="23"/>
      <c r="F66" s="23"/>
      <c r="G66" s="23"/>
      <c r="H66" s="23"/>
      <c r="I66" s="1"/>
      <c r="J66" s="31"/>
      <c r="K66" s="6" t="s">
        <v>133</v>
      </c>
      <c r="L66" s="7">
        <v>600</v>
      </c>
      <c r="M66" s="7">
        <v>600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.75" customHeight="1" x14ac:dyDescent="0.2">
      <c r="A67" s="1"/>
      <c r="B67" s="1"/>
      <c r="C67" s="18"/>
      <c r="D67" s="18"/>
      <c r="E67" s="23"/>
      <c r="F67" s="23"/>
      <c r="G67" s="23"/>
      <c r="H67" s="23"/>
      <c r="I67" s="1"/>
      <c r="J67" s="31" t="s">
        <v>20</v>
      </c>
      <c r="K67" s="6" t="s">
        <v>134</v>
      </c>
      <c r="L67" s="7">
        <v>250</v>
      </c>
      <c r="M67" s="7">
        <v>250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.75" customHeight="1" x14ac:dyDescent="0.2">
      <c r="A68" s="1"/>
      <c r="B68" s="1"/>
      <c r="C68" s="18"/>
      <c r="D68" s="18"/>
      <c r="E68" s="23"/>
      <c r="F68" s="23"/>
      <c r="G68" s="23"/>
      <c r="H68" s="23"/>
      <c r="I68" s="1"/>
      <c r="J68" s="31" t="s">
        <v>25</v>
      </c>
      <c r="K68" s="6" t="s">
        <v>135</v>
      </c>
      <c r="L68" s="7">
        <v>950</v>
      </c>
      <c r="M68" s="7">
        <v>950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.75" customHeight="1" x14ac:dyDescent="0.2">
      <c r="A69" s="1"/>
      <c r="B69" s="1"/>
      <c r="C69" s="18"/>
      <c r="D69" s="18"/>
      <c r="E69" s="23"/>
      <c r="F69" s="23"/>
      <c r="G69" s="23"/>
      <c r="H69" s="23"/>
      <c r="I69" s="1"/>
      <c r="J69" s="31" t="s">
        <v>136</v>
      </c>
      <c r="K69" s="6" t="s">
        <v>137</v>
      </c>
      <c r="L69" s="7">
        <v>600</v>
      </c>
      <c r="M69" s="7">
        <v>600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.75" customHeight="1" x14ac:dyDescent="0.2">
      <c r="A70" s="1"/>
      <c r="B70" s="1"/>
      <c r="C70" s="18"/>
      <c r="D70" s="18"/>
      <c r="E70" s="23"/>
      <c r="F70" s="23"/>
      <c r="G70" s="23"/>
      <c r="H70" s="23"/>
      <c r="I70" s="1"/>
      <c r="J70" s="31" t="s">
        <v>43</v>
      </c>
      <c r="K70" s="6" t="s">
        <v>138</v>
      </c>
      <c r="L70" s="7">
        <v>690</v>
      </c>
      <c r="M70" s="7">
        <v>690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.75" customHeight="1" x14ac:dyDescent="0.2">
      <c r="A71" s="1"/>
      <c r="B71" s="1"/>
      <c r="C71" s="18"/>
      <c r="D71" s="18"/>
      <c r="E71" s="23"/>
      <c r="F71" s="23"/>
      <c r="G71" s="23"/>
      <c r="H71" s="23"/>
      <c r="I71" s="1"/>
      <c r="J71" s="1"/>
      <c r="K71" s="6" t="s">
        <v>139</v>
      </c>
      <c r="L71" s="7">
        <v>490</v>
      </c>
      <c r="M71" s="7">
        <v>490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.75" customHeight="1" x14ac:dyDescent="0.2">
      <c r="A72" s="1"/>
      <c r="B72" s="1"/>
      <c r="C72" s="18"/>
      <c r="D72" s="18"/>
      <c r="E72" s="23"/>
      <c r="F72" s="23"/>
      <c r="G72" s="23"/>
      <c r="H72" s="23"/>
      <c r="I72" s="1"/>
      <c r="J72" s="1"/>
      <c r="K72" s="6" t="s">
        <v>140</v>
      </c>
      <c r="L72" s="7">
        <v>75</v>
      </c>
      <c r="M72" s="7">
        <v>75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.75" customHeight="1" x14ac:dyDescent="0.2">
      <c r="A73" s="1"/>
      <c r="B73" s="1"/>
      <c r="C73" s="18"/>
      <c r="D73" s="18"/>
      <c r="E73" s="23"/>
      <c r="F73" s="23"/>
      <c r="G73" s="23"/>
      <c r="H73" s="23"/>
      <c r="I73" s="1"/>
      <c r="J73" s="1"/>
      <c r="K73" s="6" t="s">
        <v>141</v>
      </c>
      <c r="L73" s="7">
        <v>800</v>
      </c>
      <c r="M73" s="7">
        <v>800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.75" customHeight="1" x14ac:dyDescent="0.2">
      <c r="A74" s="1"/>
      <c r="B74" s="1"/>
      <c r="C74" s="18"/>
      <c r="D74" s="18"/>
      <c r="E74" s="23"/>
      <c r="F74" s="23"/>
      <c r="G74" s="23"/>
      <c r="H74" s="23"/>
      <c r="I74" s="1"/>
      <c r="J74" s="1"/>
      <c r="K74" s="6" t="s">
        <v>142</v>
      </c>
      <c r="L74" s="7">
        <v>450</v>
      </c>
      <c r="M74" s="7">
        <v>450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.75" customHeight="1" x14ac:dyDescent="0.2">
      <c r="A75" s="1"/>
      <c r="B75" s="1"/>
      <c r="C75" s="18"/>
      <c r="D75" s="18"/>
      <c r="E75" s="23"/>
      <c r="F75" s="23"/>
      <c r="G75" s="23"/>
      <c r="H75" s="23"/>
      <c r="I75" s="1"/>
      <c r="J75" s="1"/>
      <c r="K75" s="6" t="s">
        <v>143</v>
      </c>
      <c r="L75" s="7">
        <v>300</v>
      </c>
      <c r="M75" s="7">
        <v>300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.75" customHeight="1" x14ac:dyDescent="0.2">
      <c r="A76" s="1"/>
      <c r="B76" s="1"/>
      <c r="C76" s="18"/>
      <c r="D76" s="18"/>
      <c r="E76" s="23"/>
      <c r="F76" s="23"/>
      <c r="G76" s="23"/>
      <c r="H76" s="23"/>
      <c r="I76" s="1"/>
      <c r="J76" s="1"/>
      <c r="K76" s="6" t="s">
        <v>144</v>
      </c>
      <c r="L76" s="7">
        <v>250</v>
      </c>
      <c r="M76" s="7">
        <v>250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.75" customHeight="1" x14ac:dyDescent="0.2">
      <c r="A77" s="1"/>
      <c r="B77" s="1"/>
      <c r="C77" s="18"/>
      <c r="D77" s="18"/>
      <c r="E77" s="23"/>
      <c r="F77" s="23"/>
      <c r="G77" s="23"/>
      <c r="H77" s="23"/>
      <c r="I77" s="1"/>
      <c r="J77" s="1"/>
      <c r="K77" s="6" t="s">
        <v>145</v>
      </c>
      <c r="L77" s="7">
        <v>40</v>
      </c>
      <c r="M77" s="7">
        <v>40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.75" customHeight="1" x14ac:dyDescent="0.2">
      <c r="A78" s="1"/>
      <c r="B78" s="1"/>
      <c r="C78" s="18"/>
      <c r="D78" s="18"/>
      <c r="E78" s="23"/>
      <c r="F78" s="23"/>
      <c r="G78" s="23"/>
      <c r="H78" s="23"/>
      <c r="I78" s="1"/>
      <c r="J78" s="1"/>
      <c r="K78" s="6" t="s">
        <v>146</v>
      </c>
      <c r="L78" s="7">
        <v>120</v>
      </c>
      <c r="M78" s="7">
        <v>120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.75" customHeight="1" x14ac:dyDescent="0.2">
      <c r="A79" s="1"/>
      <c r="B79" s="1"/>
      <c r="C79" s="18"/>
      <c r="D79" s="18"/>
      <c r="E79" s="23"/>
      <c r="F79" s="23"/>
      <c r="G79" s="23"/>
      <c r="H79" s="23"/>
      <c r="I79" s="1"/>
      <c r="J79" s="1"/>
      <c r="K79" s="6" t="s">
        <v>147</v>
      </c>
      <c r="L79" s="7">
        <v>60</v>
      </c>
      <c r="M79" s="7">
        <v>60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.75" customHeight="1" x14ac:dyDescent="0.2">
      <c r="A80" s="1"/>
      <c r="B80" s="1"/>
      <c r="C80" s="18"/>
      <c r="D80" s="18"/>
      <c r="E80" s="23"/>
      <c r="F80" s="23"/>
      <c r="G80" s="23"/>
      <c r="H80" s="23"/>
      <c r="I80" s="1"/>
      <c r="J80" s="1"/>
      <c r="K80" s="6" t="s">
        <v>148</v>
      </c>
      <c r="L80" s="7">
        <v>90</v>
      </c>
      <c r="M80" s="7">
        <v>90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.75" customHeight="1" x14ac:dyDescent="0.2">
      <c r="A81" s="1"/>
      <c r="B81" s="1"/>
      <c r="C81" s="18"/>
      <c r="D81" s="18"/>
      <c r="E81" s="23"/>
      <c r="F81" s="23"/>
      <c r="G81" s="23"/>
      <c r="H81" s="23"/>
      <c r="I81" s="1"/>
      <c r="J81" s="1"/>
      <c r="K81" s="6" t="s">
        <v>149</v>
      </c>
      <c r="L81" s="7">
        <v>350</v>
      </c>
      <c r="M81" s="7">
        <v>350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.75" customHeight="1" x14ac:dyDescent="0.2">
      <c r="A82" s="1"/>
      <c r="B82" s="1"/>
      <c r="C82" s="18"/>
      <c r="D82" s="18"/>
      <c r="E82" s="23"/>
      <c r="F82" s="23"/>
      <c r="G82" s="23"/>
      <c r="H82" s="23"/>
      <c r="I82" s="1"/>
      <c r="J82" s="1"/>
      <c r="K82" s="6" t="s">
        <v>150</v>
      </c>
      <c r="L82" s="7">
        <v>689</v>
      </c>
      <c r="M82" s="7">
        <v>689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.75" customHeight="1" x14ac:dyDescent="0.2">
      <c r="A83" s="1"/>
      <c r="B83" s="1"/>
      <c r="C83" s="18"/>
      <c r="D83" s="18"/>
      <c r="E83" s="23"/>
      <c r="F83" s="23"/>
      <c r="G83" s="23"/>
      <c r="H83" s="23"/>
      <c r="I83" s="1"/>
      <c r="J83" s="1"/>
      <c r="K83" s="6" t="s">
        <v>151</v>
      </c>
      <c r="L83" s="7">
        <v>420</v>
      </c>
      <c r="M83" s="7">
        <v>420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customHeight="1" x14ac:dyDescent="0.2">
      <c r="A84" s="1"/>
      <c r="B84" s="1"/>
      <c r="C84" s="18"/>
      <c r="D84" s="18"/>
      <c r="E84" s="23"/>
      <c r="F84" s="23"/>
      <c r="G84" s="23"/>
      <c r="H84" s="23"/>
      <c r="I84" s="1"/>
      <c r="J84" s="1"/>
      <c r="K84" s="6" t="s">
        <v>152</v>
      </c>
      <c r="L84" s="7">
        <v>200</v>
      </c>
      <c r="M84" s="7">
        <v>200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.75" customHeight="1" x14ac:dyDescent="0.2">
      <c r="A85" s="1"/>
      <c r="B85" s="1"/>
      <c r="C85" s="18"/>
      <c r="D85" s="18"/>
      <c r="E85" s="23"/>
      <c r="F85" s="23"/>
      <c r="G85" s="23"/>
      <c r="H85" s="23"/>
      <c r="I85" s="1"/>
      <c r="J85" s="1"/>
      <c r="K85" s="6" t="s">
        <v>153</v>
      </c>
      <c r="L85" s="7">
        <v>120</v>
      </c>
      <c r="M85" s="7">
        <v>120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.75" customHeight="1" x14ac:dyDescent="0.2">
      <c r="A86" s="1"/>
      <c r="B86" s="1"/>
      <c r="C86" s="18"/>
      <c r="D86" s="18"/>
      <c r="E86" s="23"/>
      <c r="F86" s="23"/>
      <c r="G86" s="23"/>
      <c r="H86" s="23"/>
      <c r="I86" s="1"/>
      <c r="J86" s="1"/>
      <c r="K86" s="6" t="s">
        <v>154</v>
      </c>
      <c r="L86" s="7">
        <v>2700</v>
      </c>
      <c r="M86" s="7">
        <v>2700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.75" customHeight="1" x14ac:dyDescent="0.2">
      <c r="A87" s="1"/>
      <c r="B87" s="1"/>
      <c r="C87" s="18"/>
      <c r="D87" s="18"/>
      <c r="E87" s="23"/>
      <c r="F87" s="23"/>
      <c r="G87" s="23"/>
      <c r="H87" s="23"/>
      <c r="I87" s="1"/>
      <c r="J87" s="1"/>
      <c r="K87" s="6" t="s">
        <v>155</v>
      </c>
      <c r="L87" s="7">
        <v>2167</v>
      </c>
      <c r="M87" s="7">
        <v>2167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.75" customHeight="1" x14ac:dyDescent="0.2">
      <c r="A88" s="1"/>
      <c r="B88" s="1"/>
      <c r="C88" s="18"/>
      <c r="D88" s="18"/>
      <c r="E88" s="23"/>
      <c r="F88" s="23"/>
      <c r="G88" s="23"/>
      <c r="H88" s="23"/>
      <c r="I88" s="1"/>
      <c r="J88" s="1"/>
      <c r="K88" s="24" t="s">
        <v>156</v>
      </c>
      <c r="L88" s="32">
        <v>3208</v>
      </c>
      <c r="M88" s="7">
        <v>3208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2">
      <c r="A89" s="1"/>
      <c r="B89" s="1"/>
      <c r="C89" s="18"/>
      <c r="D89" s="18"/>
      <c r="E89" s="23"/>
      <c r="F89" s="23"/>
      <c r="G89" s="23"/>
      <c r="H89" s="23"/>
      <c r="I89" s="1"/>
      <c r="J89" s="1"/>
      <c r="K89" s="33" t="s">
        <v>157</v>
      </c>
      <c r="L89" s="7"/>
      <c r="M89" s="7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2">
      <c r="A90" s="1"/>
      <c r="B90" s="1"/>
      <c r="C90" s="18"/>
      <c r="D90" s="18"/>
      <c r="E90" s="23"/>
      <c r="F90" s="23"/>
      <c r="G90" s="23"/>
      <c r="H90" s="23"/>
      <c r="I90" s="1"/>
      <c r="J90" s="34"/>
      <c r="K90" s="35" t="s">
        <v>158</v>
      </c>
      <c r="L90" s="7"/>
      <c r="M90" s="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.75" customHeight="1" x14ac:dyDescent="0.2">
      <c r="A91" s="1"/>
      <c r="B91" s="1"/>
      <c r="C91" s="18"/>
      <c r="D91" s="18"/>
      <c r="E91" s="23"/>
      <c r="F91" s="23"/>
      <c r="G91" s="23"/>
      <c r="H91" s="23"/>
      <c r="I91" s="1"/>
      <c r="J91" s="34"/>
      <c r="K91" s="35" t="s">
        <v>159</v>
      </c>
      <c r="L91" s="24"/>
      <c r="M91" s="2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.75" customHeight="1" x14ac:dyDescent="0.2">
      <c r="A92" s="1"/>
      <c r="B92" s="1"/>
      <c r="C92" s="18"/>
      <c r="D92" s="18"/>
      <c r="E92" s="23"/>
      <c r="F92" s="23"/>
      <c r="G92" s="23"/>
      <c r="H92" s="23"/>
      <c r="I92" s="1"/>
      <c r="J92" s="34"/>
      <c r="K92" s="36" t="s">
        <v>160</v>
      </c>
      <c r="L92" s="24"/>
      <c r="M92" s="2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.75" customHeight="1" x14ac:dyDescent="0.2">
      <c r="A93" s="1"/>
      <c r="B93" s="1"/>
      <c r="C93" s="18"/>
      <c r="D93" s="18"/>
      <c r="E93" s="23"/>
      <c r="F93" s="23"/>
      <c r="G93" s="23"/>
      <c r="H93" s="23"/>
      <c r="I93" s="1"/>
      <c r="J93" s="34"/>
      <c r="K93" s="35" t="s">
        <v>161</v>
      </c>
      <c r="L93" s="24"/>
      <c r="M93" s="2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 x14ac:dyDescent="0.2">
      <c r="A94" s="1"/>
      <c r="B94" s="1"/>
      <c r="C94" s="18"/>
      <c r="D94" s="18"/>
      <c r="E94" s="23"/>
      <c r="F94" s="23"/>
      <c r="G94" s="23"/>
      <c r="H94" s="23"/>
      <c r="I94" s="1"/>
      <c r="J94" s="34"/>
      <c r="K94" s="35"/>
      <c r="L94" s="24"/>
      <c r="M94" s="2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.75" customHeight="1" x14ac:dyDescent="0.2">
      <c r="A95" s="1"/>
      <c r="B95" s="1"/>
      <c r="C95" s="18"/>
      <c r="D95" s="18"/>
      <c r="E95" s="23"/>
      <c r="F95" s="23"/>
      <c r="G95" s="23"/>
      <c r="H95" s="23"/>
      <c r="I95" s="1"/>
      <c r="J95" s="34"/>
      <c r="K95" s="37"/>
      <c r="L95" s="38"/>
      <c r="M95" s="3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2">
      <c r="A96" s="1"/>
      <c r="B96" s="1"/>
      <c r="C96" s="18"/>
      <c r="D96" s="18"/>
      <c r="E96" s="23"/>
      <c r="F96" s="23"/>
      <c r="G96" s="23"/>
      <c r="H96" s="23"/>
      <c r="I96" s="1"/>
      <c r="J96" s="34"/>
      <c r="K96" s="37"/>
      <c r="L96" s="38"/>
      <c r="M96" s="3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.75" customHeight="1" x14ac:dyDescent="0.2">
      <c r="A97" s="1"/>
      <c r="B97" s="1"/>
      <c r="C97" s="18"/>
      <c r="D97" s="18"/>
      <c r="E97" s="23"/>
      <c r="F97" s="23"/>
      <c r="G97" s="23"/>
      <c r="H97" s="23"/>
      <c r="I97" s="1"/>
      <c r="J97" s="1"/>
      <c r="K97" s="28" t="s">
        <v>162</v>
      </c>
      <c r="L97" s="20"/>
      <c r="M97" s="2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.75" customHeight="1" x14ac:dyDescent="0.2">
      <c r="A98" s="1"/>
      <c r="B98" s="1"/>
      <c r="C98" s="18"/>
      <c r="D98" s="18"/>
      <c r="E98" s="23"/>
      <c r="F98" s="23"/>
      <c r="G98" s="23"/>
      <c r="H98" s="23"/>
      <c r="I98" s="1"/>
      <c r="J98" s="1"/>
      <c r="K98" s="18" t="s">
        <v>163</v>
      </c>
      <c r="L98" s="20"/>
      <c r="M98" s="2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.75" customHeight="1" x14ac:dyDescent="0.2">
      <c r="A99" s="1"/>
      <c r="B99" s="1"/>
      <c r="C99" s="18"/>
      <c r="D99" s="18"/>
      <c r="E99" s="23"/>
      <c r="F99" s="23"/>
      <c r="G99" s="23"/>
      <c r="H99" s="23"/>
      <c r="I99" s="1"/>
      <c r="J99" s="1"/>
      <c r="K99" s="28" t="s">
        <v>164</v>
      </c>
      <c r="L99" s="20"/>
      <c r="M99" s="2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.75" customHeight="1" x14ac:dyDescent="0.2">
      <c r="A100" s="1"/>
      <c r="B100" s="1"/>
      <c r="C100" s="18"/>
      <c r="D100" s="18"/>
      <c r="E100" s="23"/>
      <c r="F100" s="23"/>
      <c r="G100" s="23"/>
      <c r="H100" s="23"/>
      <c r="I100" s="1"/>
      <c r="J100" s="1"/>
      <c r="K100" s="18" t="s">
        <v>165</v>
      </c>
      <c r="L100" s="20"/>
      <c r="M100" s="2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.75" customHeight="1" x14ac:dyDescent="0.2">
      <c r="A101" s="1"/>
      <c r="B101" s="1"/>
      <c r="C101" s="18"/>
      <c r="D101" s="18"/>
      <c r="E101" s="23"/>
      <c r="F101" s="23"/>
      <c r="G101" s="23"/>
      <c r="H101" s="23"/>
      <c r="I101" s="1"/>
      <c r="J101" s="1"/>
      <c r="K101" s="18" t="s">
        <v>166</v>
      </c>
      <c r="L101" s="20"/>
      <c r="M101" s="2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.75" customHeight="1" x14ac:dyDescent="0.2">
      <c r="A102" s="1"/>
      <c r="B102" s="1"/>
      <c r="C102" s="18"/>
      <c r="D102" s="18"/>
      <c r="E102" s="23"/>
      <c r="F102" s="23"/>
      <c r="G102" s="23"/>
      <c r="H102" s="23"/>
      <c r="I102" s="1"/>
      <c r="J102" s="1"/>
      <c r="K102" s="18" t="s">
        <v>167</v>
      </c>
      <c r="L102" s="20"/>
      <c r="M102" s="2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.75" customHeight="1" x14ac:dyDescent="0.2">
      <c r="A103" s="1"/>
      <c r="B103" s="1"/>
      <c r="C103" s="18"/>
      <c r="D103" s="18"/>
      <c r="E103" s="23"/>
      <c r="F103" s="23"/>
      <c r="G103" s="23"/>
      <c r="H103" s="23"/>
      <c r="I103" s="1"/>
      <c r="J103" s="1"/>
      <c r="K103" s="18" t="s">
        <v>168</v>
      </c>
      <c r="L103" s="20"/>
      <c r="M103" s="2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.75" customHeight="1" x14ac:dyDescent="0.2">
      <c r="A104" s="1"/>
      <c r="B104" s="1"/>
      <c r="C104" s="18"/>
      <c r="D104" s="18"/>
      <c r="E104" s="23"/>
      <c r="F104" s="23"/>
      <c r="G104" s="23"/>
      <c r="H104" s="23"/>
      <c r="I104" s="1"/>
      <c r="J104" s="1"/>
      <c r="K104" s="18" t="s">
        <v>169</v>
      </c>
      <c r="L104" s="20"/>
      <c r="M104" s="2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.75" customHeight="1" x14ac:dyDescent="0.2">
      <c r="A105" s="1"/>
      <c r="B105" s="1"/>
      <c r="C105" s="18"/>
      <c r="D105" s="18"/>
      <c r="E105" s="23"/>
      <c r="F105" s="23"/>
      <c r="G105" s="23"/>
      <c r="H105" s="23"/>
      <c r="I105" s="1"/>
      <c r="J105" s="1"/>
      <c r="K105" s="18" t="s">
        <v>105</v>
      </c>
      <c r="L105" s="20"/>
      <c r="M105" s="2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.75" customHeight="1" x14ac:dyDescent="0.2">
      <c r="A106" s="1"/>
      <c r="B106" s="1"/>
      <c r="C106" s="39"/>
      <c r="D106" s="39"/>
      <c r="E106" s="40">
        <f t="shared" ref="E106:H106" si="0">SUM(E6:E105)</f>
        <v>94965</v>
      </c>
      <c r="F106" s="40">
        <f t="shared" si="0"/>
        <v>32800</v>
      </c>
      <c r="G106" s="40">
        <f t="shared" si="0"/>
        <v>6000</v>
      </c>
      <c r="H106" s="40">
        <f t="shared" si="0"/>
        <v>49500</v>
      </c>
      <c r="I106" s="1"/>
      <c r="J106" s="1"/>
      <c r="K106" s="8"/>
      <c r="L106" s="10">
        <f t="shared" ref="L106:M106" si="1">SUM(L6:L105)</f>
        <v>95633</v>
      </c>
      <c r="M106" s="10">
        <f t="shared" si="1"/>
        <v>82076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5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5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5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5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5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5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5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5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5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5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5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5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5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5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5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5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5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5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5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5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5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5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5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5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5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5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5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5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5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5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5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5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5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5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5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5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5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5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5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5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5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5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5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5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5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5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5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5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5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5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5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5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5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5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5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5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5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5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5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5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5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5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5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5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5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5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5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5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5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5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5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5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5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5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5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5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5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5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5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5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5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5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5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5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5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5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5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5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5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5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5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5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5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5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5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ht="15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ht="15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ht="15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ht="15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ht="15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ht="15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ht="15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ht="15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ht="15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ht="15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ht="15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ht="15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ht="15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ht="15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ht="15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ht="15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ht="15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ht="15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ht="15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ht="15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ht="15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ht="15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ht="15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ht="15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ht="15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ht="15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ht="15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ht="15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ht="15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ht="15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ht="15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ht="15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ht="15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ht="15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ht="15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ht="15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ht="15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ht="15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ht="15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ht="15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ht="15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ht="15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ht="15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ht="15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ht="15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ht="15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ht="15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ht="15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ht="15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ht="15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ht="15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ht="15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ht="15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ht="15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ht="15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ht="15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ht="15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ht="15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ht="15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ht="15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ht="15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ht="15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ht="15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ht="15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ht="15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ht="15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ht="15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ht="15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ht="15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ht="15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ht="15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ht="15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ht="15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ht="15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ht="15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ht="15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ht="15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ht="15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ht="15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ht="15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ht="15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ht="15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ht="15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ht="15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ht="15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ht="15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ht="15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ht="15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ht="15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ht="15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ht="15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ht="15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ht="15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ht="15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ht="15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ht="15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ht="15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ht="15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ht="15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ht="15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ht="15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ht="15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ht="15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ht="15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ht="15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ht="15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ht="15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ht="15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ht="15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ht="15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ht="15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ht="15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ht="15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ht="15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ht="15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ht="15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ht="15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ht="15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ht="15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ht="15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ht="15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ht="15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ht="15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ht="15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ht="15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ht="15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ht="15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ht="15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ht="15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ht="15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ht="15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ht="15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ht="15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ht="15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ht="15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ht="15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ht="15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ht="15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ht="15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ht="15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ht="15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ht="15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ht="15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ht="15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ht="15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ht="15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ht="15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ht="15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ht="15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ht="15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ht="15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ht="15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ht="15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ht="15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ht="15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ht="15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ht="15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ht="15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ht="15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ht="15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ht="15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ht="15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ht="15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ht="15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ht="15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ht="15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ht="15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ht="15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ht="15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ht="15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ht="15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ht="15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ht="15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ht="15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ht="15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ht="15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ht="15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ht="15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ht="15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ht="15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ht="15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ht="15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ht="15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ht="15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ht="15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ht="15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ht="15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ht="15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ht="15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ht="15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ht="15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ht="15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ht="15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ht="15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ht="15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ht="15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ht="15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ht="15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ht="15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ht="15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ht="15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ht="15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ht="15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ht="15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ht="15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ht="15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ht="15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ht="15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ht="15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ht="15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ht="15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ht="15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ht="15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ht="15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ht="15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ht="15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ht="15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ht="15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ht="15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ht="15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ht="15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ht="15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ht="15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ht="15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ht="15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ht="15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ht="15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ht="15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ht="15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ht="15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ht="15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ht="15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ht="15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ht="15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ht="15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ht="15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ht="15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ht="15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ht="15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ht="15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ht="15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ht="15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ht="15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ht="15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ht="15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ht="15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ht="15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ht="15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ht="15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ht="15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ht="15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ht="15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ht="15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ht="15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ht="15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ht="15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ht="15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ht="15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ht="15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ht="15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ht="15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ht="15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ht="15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ht="15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ht="15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ht="15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ht="15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ht="15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ht="15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ht="15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ht="15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ht="15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ht="15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ht="15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ht="15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ht="15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ht="15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ht="15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ht="15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ht="15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ht="15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ht="15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ht="15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ht="15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ht="15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ht="15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ht="15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ht="15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ht="15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ht="15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ht="15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ht="15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ht="15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ht="15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ht="15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ht="15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ht="15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ht="15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ht="15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ht="15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ht="15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ht="15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ht="15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ht="15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ht="15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ht="15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ht="15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ht="15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ht="15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ht="15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ht="15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ht="15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ht="15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ht="15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ht="15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ht="15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ht="15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ht="15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ht="15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ht="15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ht="15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ht="15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ht="15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ht="15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ht="15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ht="15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ht="15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ht="15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ht="15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ht="15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ht="15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ht="15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ht="15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ht="15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ht="15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ht="15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ht="15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ht="15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ht="15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ht="15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ht="15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ht="15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ht="15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ht="15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ht="15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ht="15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ht="15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ht="15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ht="15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ht="15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ht="15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ht="15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ht="15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ht="15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ht="15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ht="15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ht="15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ht="15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ht="15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ht="15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ht="15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ht="15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ht="15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ht="15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ht="15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ht="15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ht="15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ht="15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ht="15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ht="15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ht="15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ht="15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ht="15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ht="15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ht="15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ht="15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ht="15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ht="15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ht="15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ht="15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ht="15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ht="15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ht="15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ht="15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ht="15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ht="15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ht="15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ht="15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ht="15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ht="15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ht="15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ht="15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ht="15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ht="15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ht="15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ht="15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ht="15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ht="15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ht="15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ht="15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ht="15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ht="15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ht="15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ht="15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ht="15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ht="15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ht="15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ht="15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ht="15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ht="15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ht="15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ht="15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ht="15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ht="15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ht="15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ht="15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ht="15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ht="15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ht="15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ht="15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ht="15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ht="15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ht="15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ht="15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ht="15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ht="15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ht="15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ht="15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ht="15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ht="15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ht="15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ht="15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ht="15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ht="15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ht="15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ht="15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ht="15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ht="15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ht="15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ht="15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ht="15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ht="15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ht="15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ht="15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ht="15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ht="15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ht="15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ht="15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ht="15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ht="15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ht="15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ht="15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ht="15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ht="15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ht="15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ht="15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ht="15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ht="15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ht="15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ht="15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ht="15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ht="15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ht="15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ht="15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ht="15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ht="15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ht="15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ht="15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ht="15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ht="15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ht="15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ht="15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ht="15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ht="15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ht="15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ht="15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ht="15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ht="15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ht="15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ht="15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ht="15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ht="15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ht="15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ht="15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ht="15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ht="15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ht="15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ht="15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ht="15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ht="15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ht="15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ht="15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ht="15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ht="15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ht="15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ht="15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ht="15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ht="15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ht="15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ht="15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ht="15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ht="15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ht="15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ht="15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ht="15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ht="15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ht="15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ht="15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ht="15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ht="15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ht="15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ht="15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ht="15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ht="15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ht="15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ht="15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ht="15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ht="15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ht="15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ht="15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ht="15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ht="15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ht="15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ht="15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ht="15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ht="15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ht="15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ht="15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ht="15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ht="15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ht="15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ht="15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ht="15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ht="15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ht="15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ht="15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ht="15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ht="15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ht="15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ht="15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ht="15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ht="15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ht="15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ht="15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ht="15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ht="15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ht="15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ht="15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ht="15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ht="15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ht="15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ht="15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ht="15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ht="15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ht="15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ht="15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ht="15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ht="15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ht="15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ht="15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ht="15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ht="15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ht="15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ht="15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ht="15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ht="15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ht="15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ht="15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ht="15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ht="15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ht="15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ht="15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ht="15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ht="15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ht="15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ht="15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ht="15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ht="15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ht="15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ht="15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ht="15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ht="15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ht="15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ht="15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ht="15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ht="15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ht="15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ht="15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ht="15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ht="15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ht="15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ht="15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ht="15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ht="15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ht="15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ht="15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ht="15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ht="15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ht="15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ht="15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ht="15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ht="15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ht="15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ht="15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ht="15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ht="15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ht="15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ht="15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ht="15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ht="15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ht="15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ht="15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ht="15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ht="15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ht="15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ht="15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ht="15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ht="15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ht="15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ht="15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ht="15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ht="15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ht="15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ht="15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ht="15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ht="15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ht="15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ht="15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ht="15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ht="15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ht="15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ht="15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ht="15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ht="15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ht="15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ht="15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ht="15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ht="15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ht="15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ht="15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ht="15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ht="15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ht="15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ht="15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ht="15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ht="15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ht="15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ht="15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ht="15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ht="15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ht="15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ht="15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ht="15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ht="15.75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ht="15.75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ht="15.75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ht="15.75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ht="15.75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ht="15.75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ht="15.75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ht="15.75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ht="15.75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ht="15.75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ht="15.75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ht="15.75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ht="15.75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ht="15.75" customHeight="1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ht="15.75" customHeight="1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ht="15.75" customHeight="1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ht="15.75" customHeight="1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ht="15.75" customHeight="1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ht="15.75" customHeight="1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ht="15.75" customHeight="1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ht="15.75" customHeight="1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ht="15.75" customHeight="1" x14ac:dyDescent="0.2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</sheetData>
  <pageMargins left="0.511811024" right="0.511811024" top="0.78740157499999996" bottom="0.78740157499999996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</dc:creator>
  <dcterms:created xsi:type="dcterms:W3CDTF">2023-04-25T00:46:09Z</dcterms:created>
</cp:coreProperties>
</file>